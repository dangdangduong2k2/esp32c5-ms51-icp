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dbe3af6a250f56/22. data/3. Ky thuat/luyen.tran@vinafe.com/0984664450 KH CONG TY TNHH SAN XUAT TAP DOAN DAI VIET/Water electrolyzer/Ver 3 Opamp/Code/241116/"/>
    </mc:Choice>
  </mc:AlternateContent>
  <xr:revisionPtr revIDLastSave="12" documentId="13_ncr:1_{C30E9F8E-4A32-48CC-BDAF-4B30CD787BB3}" xr6:coauthVersionLast="47" xr6:coauthVersionMax="47" xr10:uidLastSave="{131EBF40-ADEF-4CD5-92F3-AE9B8614EEE9}"/>
  <bookViews>
    <workbookView xWindow="-120" yWindow="16080" windowWidth="29040" windowHeight="17520" xr2:uid="{3B865359-8DEE-4DC3-BC39-DBA05C3A1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 s="1"/>
  <c r="K6" i="1" l="1"/>
  <c r="J6" i="1"/>
  <c r="J5" i="1"/>
  <c r="K5" i="1"/>
</calcChain>
</file>

<file path=xl/sharedStrings.xml><?xml version="1.0" encoding="utf-8"?>
<sst xmlns="http://schemas.openxmlformats.org/spreadsheetml/2006/main" count="7" uniqueCount="7">
  <si>
    <t>PWM frequency</t>
  </si>
  <si>
    <t>Fsys</t>
  </si>
  <si>
    <t>PWM_CLOCK_DIV</t>
  </si>
  <si>
    <t>PWMP</t>
  </si>
  <si>
    <t>PWMPH</t>
  </si>
  <si>
    <t>PWMPL</t>
  </si>
  <si>
    <t>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</si>
</sst>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4F07-41AA-4302-9200-75464F0AD40F}">
  <dimension ref="E4:K6"/>
  <sheetViews>
    <sheetView tabSelected="1" topLeftCell="C1" workbookViewId="0">
      <selection activeCell="M14" sqref="M14"/>
    </sheetView>
  </sheetViews>
  <sheetFormatPr defaultColWidth="9" defaultRowHeight="15" x14ac:dyDescent="0.25"/>
  <cols>
    <col min="1" max="5" width="9" style="1"/>
    <col min="6" max="6" width="10" style="1" customWidth="1"/>
    <col min="7" max="7" width="16.85546875" style="1" bestFit="1" customWidth="1"/>
    <col min="8" max="8" width="18.140625" style="1" customWidth="1"/>
    <col min="9" max="16384" width="9" style="1"/>
  </cols>
  <sheetData>
    <row r="4" spans="5:11" x14ac:dyDescent="0.25">
      <c r="E4" s="1" t="s">
        <v>6</v>
      </c>
      <c r="F4" s="1" t="s">
        <v>1</v>
      </c>
      <c r="G4" s="1" t="s">
        <v>2</v>
      </c>
      <c r="H4" s="1" t="s">
        <v>0</v>
      </c>
      <c r="I4" s="1" t="s">
        <v>3</v>
      </c>
      <c r="J4" s="1" t="s">
        <v>4</v>
      </c>
      <c r="K4" s="1" t="s">
        <v>5</v>
      </c>
    </row>
    <row r="5" spans="5:11" x14ac:dyDescent="0.25">
      <c r="F5" s="1">
        <v>16600000</v>
      </c>
      <c r="G5" s="1">
        <v>2</v>
      </c>
      <c r="H5" s="1">
        <v>5000</v>
      </c>
      <c r="I5" s="1">
        <f>((F5/G5)/H5)-1</f>
        <v>1659</v>
      </c>
      <c r="J5" s="1" t="str">
        <f>IF(QUOTIENT(I5,256) &lt; 16, "0x0"&amp;DEC2HEX(QUOTIENT(I5,256)),"0x"&amp;DEC2HEX(QUOTIENT(I5,256)))</f>
        <v>0x06</v>
      </c>
      <c r="K5" s="1" t="str">
        <f>IF(MOD(I5,256) &lt; 16, "0x0"&amp;DEC2HEX(MOD(I5,256)),"0x"&amp;DEC2HEX(MOD(I5,256)))</f>
        <v>0x7B</v>
      </c>
    </row>
    <row r="6" spans="5:11" x14ac:dyDescent="0.25">
      <c r="E6" s="1">
        <v>75</v>
      </c>
      <c r="I6" s="2">
        <f>I5*E6/100</f>
        <v>1244.25</v>
      </c>
      <c r="J6" s="1" t="str">
        <f>IF(QUOTIENT(I6,256) &lt; 16, "0x0"&amp;DEC2HEX(QUOTIENT(I6,256)),"0x"&amp;DEC2HEX(QUOTIENT(I6,256)))</f>
        <v>0x04</v>
      </c>
      <c r="K6" s="1" t="str">
        <f>IF(MOD(I6,256) &lt; 16, "0x0"&amp;DEC2HEX(MOD(I6,256)),"0x"&amp;DEC2HEX(MOD(I6,256)))</f>
        <v>0xDC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Tinh Nhox</dc:creator>
  <cp:lastModifiedBy>Luyen Tran</cp:lastModifiedBy>
  <dcterms:created xsi:type="dcterms:W3CDTF">2023-04-05T04:24:54Z</dcterms:created>
  <dcterms:modified xsi:type="dcterms:W3CDTF">2024-11-18T03:55:26Z</dcterms:modified>
</cp:coreProperties>
</file>