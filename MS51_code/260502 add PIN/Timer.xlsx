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https://d.docs.live.net/f8dbe3af6a250f56/22. data/3. Ky thuat/rd3@vinafe.com/0987878367 KH Trung Den/MAIN dieu khien/Code/240706 Nuvoton MS51FB9AE/"/>
    </mc:Choice>
  </mc:AlternateContent>
  <xr:revisionPtr revIDLastSave="1" documentId="13_ncr:1_{F31AF241-816A-4284-847A-C2A2090233DC}" xr6:coauthVersionLast="47" xr6:coauthVersionMax="47" xr10:uidLastSave="{C7C42388-39C0-449F-A05F-CCC2796C4A66}"/>
  <bookViews>
    <workbookView xWindow="-120" yWindow="16080" windowWidth="29040" windowHeight="17520" xr2:uid="{00000000-000D-0000-FFFF-FFFF00000000}"/>
  </bookViews>
  <sheets>
    <sheet name="Sheet1" sheetId="1" r:id="rId1"/>
    <sheet name="DIV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8" i="1" l="1"/>
  <c r="F24" i="1"/>
  <c r="G24" i="1" s="1"/>
  <c r="I24" i="1" s="1"/>
  <c r="J24" i="1" s="1"/>
  <c r="B10" i="1"/>
  <c r="B8" i="1"/>
  <c r="B18" i="1"/>
  <c r="F14" i="1"/>
  <c r="G14" i="1" s="1"/>
  <c r="I14" i="1" s="1"/>
  <c r="J14" i="1" s="1"/>
  <c r="L24" i="1" l="1"/>
  <c r="K24" i="1"/>
  <c r="L14" i="1"/>
  <c r="K14" i="1"/>
  <c r="F5" i="1"/>
  <c r="G5" i="1" s="1"/>
  <c r="I5" i="1" s="1"/>
  <c r="J5" i="1" s="1"/>
  <c r="C19" i="1" l="1"/>
  <c r="C29" i="1"/>
  <c r="K5" i="1"/>
  <c r="L5" i="1"/>
  <c r="C9" i="1" l="1"/>
</calcChain>
</file>

<file path=xl/sharedStrings.xml><?xml version="1.0" encoding="utf-8"?>
<sst xmlns="http://schemas.openxmlformats.org/spreadsheetml/2006/main" count="46" uniqueCount="24">
  <si>
    <t>Clock</t>
  </si>
  <si>
    <t>DIV</t>
  </si>
  <si>
    <t>F
(Hz)</t>
  </si>
  <si>
    <t>T
(uS)</t>
  </si>
  <si>
    <t>Timer Count</t>
  </si>
  <si>
    <t>Time need
(uS)</t>
  </si>
  <si>
    <t>Value</t>
  </si>
  <si>
    <t>RCMP2H</t>
  </si>
  <si>
    <t>RCMP2L</t>
  </si>
  <si>
    <t>Timer 2 Auto Reload</t>
  </si>
  <si>
    <t>Code</t>
  </si>
  <si>
    <t>A</t>
  </si>
  <si>
    <t>B</t>
  </si>
  <si>
    <t>Timer 2</t>
  </si>
  <si>
    <t>T2MOD</t>
  </si>
  <si>
    <t>TH1</t>
  </si>
  <si>
    <t>TL1</t>
  </si>
  <si>
    <t>TH0</t>
  </si>
  <si>
    <t>TL0</t>
  </si>
  <si>
    <t>Timer 0 Mode 1</t>
  </si>
  <si>
    <t>Timer 0</t>
  </si>
  <si>
    <t>Timer 1</t>
  </si>
  <si>
    <t>Timer 0 &amp; 1</t>
  </si>
  <si>
    <t>Timer 1 Mode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</si>
</sst>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L29"/>
  <sheetViews>
    <sheetView tabSelected="1" topLeftCell="A22" workbookViewId="0">
      <selection activeCell="C29" sqref="C29"/>
    </sheetView>
  </sheetViews>
  <sheetFormatPr defaultColWidth="9" defaultRowHeight="15" x14ac:dyDescent="0.25"/>
  <cols>
    <col min="1" max="2" width="9" style="1"/>
    <col min="3" max="3" width="37.140625" style="1" customWidth="1"/>
    <col min="4" max="5" width="9" style="1"/>
    <col min="6" max="6" width="17.5703125" style="1" customWidth="1"/>
    <col min="7" max="7" width="18" style="1" customWidth="1"/>
    <col min="8" max="8" width="18.28515625" style="1" customWidth="1"/>
    <col min="9" max="9" width="17.42578125" style="1" customWidth="1"/>
    <col min="10" max="10" width="18.140625" style="1" customWidth="1"/>
    <col min="11" max="16384" width="9" style="1"/>
  </cols>
  <sheetData>
    <row r="3" spans="1:12" x14ac:dyDescent="0.25">
      <c r="D3" s="5" t="s">
        <v>9</v>
      </c>
      <c r="E3" s="5"/>
      <c r="F3" s="5"/>
      <c r="G3" s="5"/>
      <c r="H3" s="5"/>
      <c r="I3" s="5"/>
      <c r="J3" s="5"/>
      <c r="K3" s="5"/>
      <c r="L3" s="5"/>
    </row>
    <row r="4" spans="1:12" ht="30" x14ac:dyDescent="0.25">
      <c r="D4" s="1" t="s">
        <v>0</v>
      </c>
      <c r="E4" s="1" t="s">
        <v>1</v>
      </c>
      <c r="F4" s="2" t="s">
        <v>2</v>
      </c>
      <c r="G4" s="2" t="s">
        <v>3</v>
      </c>
      <c r="H4" s="2" t="s">
        <v>5</v>
      </c>
      <c r="I4" s="1" t="s">
        <v>4</v>
      </c>
      <c r="J4" s="1" t="s">
        <v>6</v>
      </c>
      <c r="K4" s="1" t="s">
        <v>7</v>
      </c>
      <c r="L4" s="1" t="s">
        <v>8</v>
      </c>
    </row>
    <row r="5" spans="1:12" x14ac:dyDescent="0.25">
      <c r="D5" s="1">
        <v>16600000</v>
      </c>
      <c r="E5" s="1">
        <v>32</v>
      </c>
      <c r="F5" s="1">
        <f>D5/E5</f>
        <v>518750</v>
      </c>
      <c r="G5" s="1">
        <f>1/F5*1000000</f>
        <v>1.927710843373494</v>
      </c>
      <c r="H5" s="1">
        <v>100000</v>
      </c>
      <c r="I5" s="1">
        <f>H5/G5</f>
        <v>51875</v>
      </c>
      <c r="J5" s="1">
        <f>65536-I5</f>
        <v>13661</v>
      </c>
      <c r="K5" s="1" t="str">
        <f>IF(QUOTIENT(J5,256) &lt; 16, "0x0"&amp;DEC2HEX(QUOTIENT(J5,256)),"0x"&amp;DEC2HEX(QUOTIENT(J5,256)))</f>
        <v>0x35</v>
      </c>
      <c r="L5" s="1" t="str">
        <f>IF(MOD(J5,256) &lt; 16, "0x0"&amp;DEC2HEX(MOD(J5,256)),"0x"&amp;DEC2HEX(MOD(J5,256)))</f>
        <v>0x5D</v>
      </c>
    </row>
    <row r="8" spans="1:12" x14ac:dyDescent="0.25">
      <c r="A8" s="1" t="s">
        <v>1</v>
      </c>
      <c r="B8" s="1" t="str">
        <f>"0x"&amp;DEC2HEX(VLOOKUP(E5,DIV!$D$5:$E$13,2,FALSE))</f>
        <v>0x30</v>
      </c>
      <c r="C8" s="1" t="s">
        <v>10</v>
      </c>
      <c r="E8" s="3"/>
      <c r="F8" s="3"/>
    </row>
    <row r="9" spans="1:12" ht="240" x14ac:dyDescent="0.25">
      <c r="C9" s="4" t="str">
        <f>CONCATENATE("void Timer2_INIT(void) {",CHAR(10),"// Timer 2 Auto Reload",CHAR(10),"// ",H5/1000," mS - HIRC ",D5/1000000," MHz",CHAR(10),"TH2 = 0;",CHAR(10),"TL2 = 0;",CHAR(10),"RCMP2H = ",K5,";",CHAR(10),"RCMP2L = ",L5,";",CHAR(10),"T2MOD |= ",B10,";",CHAR(10),"CM_RL2 = 0;",CHAR(10),"EIE |= SET_BIT7;",CHAR(10),"TR2 = 1;",CHAR(10),"}",CHAR(10),"void Timer2_ISR(void) interrupt 5 {",CHAR(10),"TF2 = 0;",CHAR(10),"// To do Code",CHAR(10),"}")</f>
        <v>void Timer2_INIT(void) {
// Timer 2 Auto Reload
// 100 mS - HIRC 16.6 MHz
TH2 = 0;
TL2 = 0;
RCMP2H = 0x35;
RCMP2L = 0x5D;
T2MOD |= 0xB8;
CM_RL2 = 0;
EIE |= SET_BIT7;
TR2 = 1;
}
void Timer2_ISR(void) interrupt 5 {
TF2 = 0;
// To do Code
}</v>
      </c>
    </row>
    <row r="10" spans="1:12" x14ac:dyDescent="0.25">
      <c r="A10" s="1" t="s">
        <v>14</v>
      </c>
      <c r="B10" s="1" t="str">
        <f>"0x"&amp;DEC2HEX(VLOOKUP(E5,DIV!$D$5:$E$13,2,FALSE) + 136)</f>
        <v>0xB8</v>
      </c>
    </row>
    <row r="12" spans="1:12" x14ac:dyDescent="0.25">
      <c r="D12" s="5" t="s">
        <v>19</v>
      </c>
      <c r="E12" s="5"/>
      <c r="F12" s="5"/>
      <c r="G12" s="5"/>
      <c r="H12" s="5"/>
      <c r="I12" s="5"/>
      <c r="J12" s="5"/>
      <c r="K12" s="5"/>
      <c r="L12" s="5"/>
    </row>
    <row r="13" spans="1:12" ht="30" x14ac:dyDescent="0.25">
      <c r="D13" s="1" t="s">
        <v>0</v>
      </c>
      <c r="E13" s="1" t="s">
        <v>1</v>
      </c>
      <c r="F13" s="2" t="s">
        <v>2</v>
      </c>
      <c r="G13" s="2" t="s">
        <v>3</v>
      </c>
      <c r="H13" s="2" t="s">
        <v>5</v>
      </c>
      <c r="I13" s="1" t="s">
        <v>4</v>
      </c>
      <c r="J13" s="1" t="s">
        <v>6</v>
      </c>
      <c r="K13" s="1" t="s">
        <v>17</v>
      </c>
      <c r="L13" s="1" t="s">
        <v>18</v>
      </c>
    </row>
    <row r="14" spans="1:12" x14ac:dyDescent="0.25">
      <c r="D14" s="1">
        <v>16600000</v>
      </c>
      <c r="E14" s="1">
        <v>1</v>
      </c>
      <c r="F14" s="1">
        <f>D14/E14</f>
        <v>16600000</v>
      </c>
      <c r="G14" s="1">
        <f>1/F14*1000000</f>
        <v>6.0240963855421686E-2</v>
      </c>
      <c r="H14" s="1">
        <v>2000</v>
      </c>
      <c r="I14" s="1">
        <f>H14/G14</f>
        <v>33200</v>
      </c>
      <c r="J14" s="1">
        <f>65536-I14</f>
        <v>32336</v>
      </c>
      <c r="K14" s="1" t="str">
        <f>IF(QUOTIENT(J14,256) &lt; 16, "0x0"&amp;DEC2HEX(QUOTIENT(J14,256)),"0x"&amp;DEC2HEX(QUOTIENT(J14,256)))</f>
        <v>0x7E</v>
      </c>
      <c r="L14" s="1" t="str">
        <f>IF(MOD(J14,256) &lt; 16, "0x0"&amp;DEC2HEX(MOD(J14,256)),"0x"&amp;DEC2HEX(MOD(J14,256)))</f>
        <v>0x50</v>
      </c>
    </row>
    <row r="18" spans="1:12" x14ac:dyDescent="0.25">
      <c r="A18" s="1" t="s">
        <v>1</v>
      </c>
      <c r="B18" s="1" t="str">
        <f>IF(VLOOKUP(E14,DIV!$G$5:$I$7,2,FALSE)&lt;16,"0x0"&amp;DEC2HEX(VLOOKUP(E14,DIV!$G$5:$I$7,2,FALSE)),"0x"&amp;DEC2HEX(VLOOKUP(E14,DIV!$G$5:$I$7,2,FALSE)))</f>
        <v>0x08</v>
      </c>
      <c r="C18" s="1" t="s">
        <v>10</v>
      </c>
    </row>
    <row r="19" spans="1:12" ht="240" x14ac:dyDescent="0.25">
      <c r="C19" s="4" t="str">
        <f>CONCATENATE("void Timer0_INIT() {",CHAR(10),"// Timer 0 Mode 1",CHAR(10),"// ",H14/1000," mS - HIRC ",D14/1000000," MHz",CHAR(10),IF(B18&lt;&gt;"0x00","CKCON |= ",""),IF(B18&lt;&gt;"0x00",B18,""),IF(B18&lt;&gt;"0x00",";",""),IF(B18&lt;&gt;"0x00",CHAR(10),""),"TMOD &amp;= 0xF0;",CHAR(10),"TMOD |= 0x01;",CHAR(10),"TH0 = ",K14,";",CHAR(10),"TL0 = ",L14,";",CHAR(10),"ET0 = 1;",CHAR(10),"TR0 = 1;",CHAR(10),"}",CHAR(10),"void Timer0_ISR(void) interrupt 1 {",CHAR(10),"TH0 = ",K14,";",CHAR(10),"TL0 = ",L14,";",CHAR(10),"// To do Code",CHAR(10),"}")</f>
        <v>void Timer0_INIT() {
// Timer 0 Mode 1
// 2 mS - HIRC 16.6 MHz
CKCON |= 0x08;
TMOD &amp;= 0xF0;
TMOD |= 0x01;
TH0 = 0x7E;
TL0 = 0x50;
ET0 = 1;
TR0 = 1;
}
void Timer0_ISR(void) interrupt 1 {
TH0 = 0x7E;
TL0 = 0x50;
// To do Code
}</v>
      </c>
    </row>
    <row r="22" spans="1:12" x14ac:dyDescent="0.25">
      <c r="D22" s="5" t="s">
        <v>23</v>
      </c>
      <c r="E22" s="5"/>
      <c r="F22" s="5"/>
      <c r="G22" s="5"/>
      <c r="H22" s="5"/>
      <c r="I22" s="5"/>
      <c r="J22" s="5"/>
      <c r="K22" s="5"/>
      <c r="L22" s="5"/>
    </row>
    <row r="23" spans="1:12" ht="30" x14ac:dyDescent="0.25">
      <c r="D23" s="1" t="s">
        <v>0</v>
      </c>
      <c r="E23" s="1" t="s">
        <v>1</v>
      </c>
      <c r="F23" s="2" t="s">
        <v>2</v>
      </c>
      <c r="G23" s="2" t="s">
        <v>3</v>
      </c>
      <c r="H23" s="2" t="s">
        <v>5</v>
      </c>
      <c r="I23" s="1" t="s">
        <v>4</v>
      </c>
      <c r="J23" s="1" t="s">
        <v>6</v>
      </c>
      <c r="K23" s="1" t="s">
        <v>15</v>
      </c>
      <c r="L23" s="1" t="s">
        <v>16</v>
      </c>
    </row>
    <row r="24" spans="1:12" x14ac:dyDescent="0.25">
      <c r="D24" s="1">
        <v>16600000</v>
      </c>
      <c r="E24" s="1">
        <v>1</v>
      </c>
      <c r="F24" s="1">
        <f>D24/E24</f>
        <v>16600000</v>
      </c>
      <c r="G24" s="1">
        <f>1/F24*1000000</f>
        <v>6.0240963855421686E-2</v>
      </c>
      <c r="H24" s="1">
        <v>1000</v>
      </c>
      <c r="I24" s="1">
        <f>H24/G24</f>
        <v>16600</v>
      </c>
      <c r="J24" s="1">
        <f>65536-I24</f>
        <v>48936</v>
      </c>
      <c r="K24" s="1" t="str">
        <f>IF(QUOTIENT(J24,256) &lt; 16, "0x0"&amp;DEC2HEX(QUOTIENT(J24,256)),"0x"&amp;DEC2HEX(QUOTIENT(J24,256)))</f>
        <v>0xBF</v>
      </c>
      <c r="L24" s="1" t="str">
        <f>IF(MOD(J24,256) &lt; 16, "0x0"&amp;DEC2HEX(MOD(J24,256)),"0x"&amp;DEC2HEX(MOD(J24,256)))</f>
        <v>0x28</v>
      </c>
    </row>
    <row r="28" spans="1:12" x14ac:dyDescent="0.25">
      <c r="A28" s="1" t="s">
        <v>1</v>
      </c>
      <c r="B28" s="1" t="str">
        <f>IF(VLOOKUP(E24,DIV!$G$5:$I$7,3,FALSE)&lt;16,"0x0"&amp;DEC2HEX(VLOOKUP(E24,DIV!$G$5:$I$7,3,FALSE)),"0x"&amp;DEC2HEX(VLOOKUP(E24,DIV!$G$5:$I$7,3,FALSE)))</f>
        <v>0x10</v>
      </c>
      <c r="C28" s="1" t="s">
        <v>10</v>
      </c>
    </row>
    <row r="29" spans="1:12" ht="240" x14ac:dyDescent="0.25">
      <c r="C29" s="4" t="str">
        <f>CONCATENATE("void Timer1_INIT() {",CHAR(10),"// Timer 1 Mode 1",CHAR(10),"// ",H24/1000," mS - HIRC ",D24/1000000," MHz",CHAR(10),IF(B28&lt;&gt;"0x00","CKCON |= ",""),IF(B28&lt;&gt;"0x00",B28,""),IF(B28&lt;&gt;"0x00",";",""),IF(B28&lt;&gt;"0x00",CHAR(10),""),"TMOD &amp;= 0x0F;",CHAR(10),"TMOD |= 0x10;",CHAR(10),"TH1 = ",K24,";",CHAR(10),"TL1 = ",L24,";",CHAR(10),"ET1 = 1;",CHAR(10),"TR1 = 1;",CHAR(10),"}",CHAR(10),"void Timer1_ISR(void) interrupt 3 {",CHAR(10),"TH1 = ",K24,";",CHAR(10),"TL1 = ",L24,";",CHAR(10),"// To do Code",CHAR(10),"}")</f>
        <v>void Timer1_INIT() {
// Timer 1 Mode 1
// 1 mS - HIRC 16.6 MHz
CKCON |= 0x10;
TMOD &amp;= 0x0F;
TMOD |= 0x10;
TH1 = 0xBF;
TL1 = 0x28;
ET1 = 1;
TR1 = 1;
}
void Timer1_ISR(void) interrupt 3 {
TH1 = 0xBF;
TL1 = 0x28;
// To do Code
}</v>
      </c>
    </row>
  </sheetData>
  <mergeCells count="3">
    <mergeCell ref="D3:L3"/>
    <mergeCell ref="D12:L12"/>
    <mergeCell ref="D22:L2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601163-5F72-4386-B26E-18A49DABB4F2}">
  <dimension ref="D3:K13"/>
  <sheetViews>
    <sheetView workbookViewId="0">
      <selection activeCell="I12" sqref="I12"/>
    </sheetView>
  </sheetViews>
  <sheetFormatPr defaultRowHeight="15" x14ac:dyDescent="0.25"/>
  <cols>
    <col min="6" max="6" width="17.85546875" customWidth="1"/>
  </cols>
  <sheetData>
    <row r="3" spans="4:11" x14ac:dyDescent="0.25">
      <c r="D3" s="5" t="s">
        <v>13</v>
      </c>
      <c r="E3" s="5"/>
      <c r="G3" s="5" t="s">
        <v>22</v>
      </c>
      <c r="H3" s="5"/>
      <c r="I3" s="5"/>
      <c r="J3" s="5"/>
      <c r="K3" s="5"/>
    </row>
    <row r="4" spans="4:11" x14ac:dyDescent="0.25">
      <c r="D4" s="5" t="s">
        <v>1</v>
      </c>
      <c r="E4" s="5"/>
      <c r="G4" s="5" t="s">
        <v>1</v>
      </c>
      <c r="H4" s="5"/>
      <c r="I4" s="5"/>
      <c r="J4" s="5"/>
      <c r="K4" s="5"/>
    </row>
    <row r="5" spans="4:11" x14ac:dyDescent="0.25">
      <c r="D5" s="1" t="s">
        <v>11</v>
      </c>
      <c r="E5" s="1" t="s">
        <v>12</v>
      </c>
      <c r="G5" s="1" t="s">
        <v>11</v>
      </c>
      <c r="H5" s="1" t="s">
        <v>20</v>
      </c>
      <c r="I5" s="1" t="s">
        <v>21</v>
      </c>
      <c r="J5" s="1"/>
      <c r="K5" s="1"/>
    </row>
    <row r="6" spans="4:11" x14ac:dyDescent="0.25">
      <c r="D6" s="1">
        <v>1</v>
      </c>
      <c r="E6" s="1">
        <v>0</v>
      </c>
      <c r="G6" s="1">
        <v>1</v>
      </c>
      <c r="H6" s="1">
        <v>8</v>
      </c>
      <c r="I6" s="1">
        <v>16</v>
      </c>
      <c r="J6" s="1"/>
      <c r="K6" s="1"/>
    </row>
    <row r="7" spans="4:11" x14ac:dyDescent="0.25">
      <c r="D7" s="1">
        <v>4</v>
      </c>
      <c r="E7" s="1">
        <v>16</v>
      </c>
      <c r="G7" s="1">
        <v>12</v>
      </c>
      <c r="H7" s="1">
        <v>0</v>
      </c>
      <c r="I7" s="1">
        <v>0</v>
      </c>
      <c r="J7" s="1"/>
      <c r="K7" s="1"/>
    </row>
    <row r="8" spans="4:11" x14ac:dyDescent="0.25">
      <c r="D8" s="1">
        <v>16</v>
      </c>
      <c r="E8" s="1">
        <v>32</v>
      </c>
    </row>
    <row r="9" spans="4:11" x14ac:dyDescent="0.25">
      <c r="D9" s="1">
        <v>32</v>
      </c>
      <c r="E9" s="1">
        <v>48</v>
      </c>
    </row>
    <row r="10" spans="4:11" x14ac:dyDescent="0.25">
      <c r="D10" s="1">
        <v>64</v>
      </c>
      <c r="E10" s="1">
        <v>64</v>
      </c>
    </row>
    <row r="11" spans="4:11" x14ac:dyDescent="0.25">
      <c r="D11" s="1">
        <v>128</v>
      </c>
      <c r="E11" s="1">
        <v>80</v>
      </c>
    </row>
    <row r="12" spans="4:11" x14ac:dyDescent="0.25">
      <c r="D12" s="1">
        <v>256</v>
      </c>
      <c r="E12" s="1">
        <v>96</v>
      </c>
    </row>
    <row r="13" spans="4:11" x14ac:dyDescent="0.25">
      <c r="D13" s="1">
        <v>512</v>
      </c>
      <c r="E13" s="1">
        <v>112</v>
      </c>
    </row>
  </sheetData>
  <mergeCells count="6">
    <mergeCell ref="D3:E3"/>
    <mergeCell ref="D4:E4"/>
    <mergeCell ref="J3:K3"/>
    <mergeCell ref="J4:K4"/>
    <mergeCell ref="G3:I3"/>
    <mergeCell ref="G4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DIV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 Tinh Nhox</dc:creator>
  <cp:lastModifiedBy>Luyen Tran</cp:lastModifiedBy>
  <dcterms:created xsi:type="dcterms:W3CDTF">2015-06-05T18:17:20Z</dcterms:created>
  <dcterms:modified xsi:type="dcterms:W3CDTF">2024-07-08T10:22:01Z</dcterms:modified>
</cp:coreProperties>
</file>