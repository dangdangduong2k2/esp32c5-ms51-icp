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51030\"/>
    </mc:Choice>
  </mc:AlternateContent>
  <bookViews>
    <workbookView xWindow="0" yWindow="0" windowWidth="28800" windowHeight="12210"/>
  </bookViews>
  <sheets>
    <sheet name="Main" sheetId="1" r:id="rId1"/>
    <sheet name="Tem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2" l="1"/>
  <c r="G19" i="2" s="1"/>
  <c r="F18" i="2"/>
  <c r="F19" i="2" s="1"/>
  <c r="E12" i="2"/>
  <c r="E13" i="2"/>
  <c r="E14" i="2"/>
  <c r="E15" i="2"/>
  <c r="E16" i="2"/>
  <c r="E17" i="2"/>
  <c r="E18" i="2"/>
  <c r="D12" i="2"/>
  <c r="D13" i="2"/>
  <c r="D14" i="2"/>
  <c r="D15" i="2"/>
  <c r="D16" i="2"/>
  <c r="D17" i="2"/>
  <c r="D18" i="2"/>
  <c r="E11" i="2"/>
  <c r="D11" i="2"/>
  <c r="C12" i="2"/>
  <c r="C13" i="2"/>
  <c r="C14" i="2"/>
  <c r="C15" i="2"/>
  <c r="C16" i="2"/>
  <c r="C17" i="2"/>
  <c r="C18" i="2"/>
  <c r="C11" i="2"/>
  <c r="B12" i="2"/>
  <c r="B13" i="2"/>
  <c r="B14" i="2"/>
  <c r="B15" i="2"/>
  <c r="B16" i="2"/>
  <c r="B17" i="2"/>
  <c r="B18" i="2"/>
  <c r="B11" i="2"/>
  <c r="I3" i="2"/>
  <c r="I4" i="2" s="1"/>
  <c r="H3" i="2"/>
  <c r="H4" i="2" s="1"/>
  <c r="G3" i="2"/>
  <c r="G4" i="2" s="1"/>
  <c r="J14" i="1" l="1"/>
  <c r="B19" i="2"/>
  <c r="C19" i="2"/>
  <c r="D19" i="2"/>
  <c r="E19" i="2"/>
  <c r="F14" i="1" l="1"/>
  <c r="B14" i="1"/>
  <c r="A18" i="1" s="1"/>
</calcChain>
</file>

<file path=xl/sharedStrings.xml><?xml version="1.0" encoding="utf-8"?>
<sst xmlns="http://schemas.openxmlformats.org/spreadsheetml/2006/main" count="99" uniqueCount="51">
  <si>
    <t>M1</t>
  </si>
  <si>
    <t>M2</t>
  </si>
  <si>
    <t>Code</t>
  </si>
  <si>
    <t>Type</t>
  </si>
  <si>
    <t>Open-drain</t>
  </si>
  <si>
    <t>Push-pull</t>
  </si>
  <si>
    <t>Input-only</t>
  </si>
  <si>
    <t>Quasi</t>
  </si>
  <si>
    <t>P0</t>
  </si>
  <si>
    <t>P1</t>
  </si>
  <si>
    <t>P3</t>
  </si>
  <si>
    <t>Px7</t>
  </si>
  <si>
    <t>Px6</t>
  </si>
  <si>
    <t>Px5</t>
  </si>
  <si>
    <t>Px4</t>
  </si>
  <si>
    <t>Px3</t>
  </si>
  <si>
    <t>Px2</t>
  </si>
  <si>
    <t>Px1</t>
  </si>
  <si>
    <t>Px0</t>
  </si>
  <si>
    <t>Yes</t>
  </si>
  <si>
    <t>Select</t>
  </si>
  <si>
    <t>Config IO</t>
  </si>
  <si>
    <t>State</t>
  </si>
  <si>
    <t>Mode</t>
  </si>
  <si>
    <t>Define Pin</t>
  </si>
  <si>
    <t>Config_GPIO</t>
  </si>
  <si>
    <t>Nuvoton</t>
  </si>
  <si>
    <t>State P0</t>
  </si>
  <si>
    <t>State P1</t>
  </si>
  <si>
    <t>State P3</t>
  </si>
  <si>
    <t>Code Config Port 0</t>
  </si>
  <si>
    <t>Code Config Port 3</t>
  </si>
  <si>
    <t>Code Config Port 1</t>
  </si>
  <si>
    <t>Port</t>
  </si>
  <si>
    <t>Add Caption</t>
  </si>
  <si>
    <t xml:space="preserve">    Quasi   </t>
  </si>
  <si>
    <t xml:space="preserve">  Push-pull </t>
  </si>
  <si>
    <t xml:space="preserve"> Input-only </t>
  </si>
  <si>
    <t xml:space="preserve"> Open-drain </t>
  </si>
  <si>
    <t>SDA2</t>
  </si>
  <si>
    <t>RL1</t>
  </si>
  <si>
    <t>UP</t>
  </si>
  <si>
    <t>DOWN</t>
  </si>
  <si>
    <t>SW2</t>
  </si>
  <si>
    <t>SDA1</t>
  </si>
  <si>
    <t>SCL1</t>
  </si>
  <si>
    <t>SCL2</t>
  </si>
  <si>
    <t>SET</t>
  </si>
  <si>
    <t>RL2</t>
  </si>
  <si>
    <t>RL3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</si>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</sst>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6" borderId="1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19B6E7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9B6E7"/>
      <color rgb="FF2F65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theme" Target="theme/theme1.xml"/><Relationship Id="rId7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"/>
  <sheetViews>
    <sheetView tabSelected="1" zoomScale="85" zoomScaleNormal="85" workbookViewId="0">
      <selection activeCell="P18" sqref="P18"/>
    </sheetView>
  </sheetViews>
  <sheetFormatPr defaultRowHeight="15" x14ac:dyDescent="0.25"/>
  <cols>
    <col min="1" max="1" width="6.140625" bestFit="1" customWidth="1"/>
    <col min="2" max="3" width="12.140625" customWidth="1"/>
    <col min="4" max="4" width="15" bestFit="1" customWidth="1"/>
    <col min="5" max="7" width="12.140625" customWidth="1"/>
    <col min="8" max="8" width="14.5703125" bestFit="1" customWidth="1"/>
    <col min="9" max="11" width="12.140625" customWidth="1"/>
    <col min="12" max="12" width="14.7109375" bestFit="1" customWidth="1"/>
    <col min="13" max="13" width="12.140625" customWidth="1"/>
    <col min="14" max="15" width="10" customWidth="1"/>
    <col min="16" max="21" width="10" bestFit="1" customWidth="1"/>
    <col min="24" max="24" width="9" customWidth="1"/>
  </cols>
  <sheetData>
    <row r="1" spans="1:35" x14ac:dyDescent="0.25">
      <c r="A1" s="29"/>
      <c r="B1" s="30" t="s">
        <v>21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5"/>
      <c r="P1" s="6"/>
    </row>
    <row r="2" spans="1:35" x14ac:dyDescent="0.25">
      <c r="A2" s="29"/>
      <c r="B2" s="7" t="s">
        <v>33</v>
      </c>
      <c r="C2" s="15">
        <v>0</v>
      </c>
      <c r="D2" s="16"/>
      <c r="E2" s="17"/>
      <c r="F2" s="7" t="s">
        <v>33</v>
      </c>
      <c r="G2" s="15">
        <v>1</v>
      </c>
      <c r="H2" s="16"/>
      <c r="I2" s="17"/>
      <c r="J2" s="7" t="s">
        <v>33</v>
      </c>
      <c r="K2" s="15">
        <v>3</v>
      </c>
      <c r="L2" s="16"/>
      <c r="M2" s="17"/>
      <c r="N2" s="5"/>
      <c r="O2" s="6"/>
    </row>
    <row r="3" spans="1:35" x14ac:dyDescent="0.25">
      <c r="A3" s="29"/>
      <c r="B3" s="11" t="s">
        <v>23</v>
      </c>
      <c r="C3" s="18" t="s">
        <v>22</v>
      </c>
      <c r="D3" s="23" t="s">
        <v>24</v>
      </c>
      <c r="E3" s="24"/>
      <c r="F3" s="18" t="s">
        <v>23</v>
      </c>
      <c r="G3" s="18" t="s">
        <v>22</v>
      </c>
      <c r="H3" s="23" t="s">
        <v>24</v>
      </c>
      <c r="I3" s="24"/>
      <c r="J3" s="18" t="s">
        <v>23</v>
      </c>
      <c r="K3" s="18" t="s">
        <v>22</v>
      </c>
      <c r="L3" s="23" t="s">
        <v>24</v>
      </c>
      <c r="M3" s="24"/>
      <c r="N3" s="5"/>
      <c r="O3" s="6"/>
    </row>
    <row r="4" spans="1:35" x14ac:dyDescent="0.25">
      <c r="A4" s="29"/>
      <c r="B4" s="12"/>
      <c r="C4" s="19"/>
      <c r="D4" s="8" t="s">
        <v>25</v>
      </c>
      <c r="E4" s="9" t="s">
        <v>26</v>
      </c>
      <c r="F4" s="19"/>
      <c r="G4" s="19"/>
      <c r="H4" s="8" t="s">
        <v>25</v>
      </c>
      <c r="I4" s="9" t="s">
        <v>26</v>
      </c>
      <c r="J4" s="19"/>
      <c r="K4" s="19"/>
      <c r="L4" s="8" t="s">
        <v>25</v>
      </c>
      <c r="M4" s="9" t="s">
        <v>26</v>
      </c>
      <c r="N4" s="5"/>
      <c r="O4" s="6"/>
    </row>
    <row r="5" spans="1:35" x14ac:dyDescent="0.25">
      <c r="A5" s="7" t="s">
        <v>11</v>
      </c>
      <c r="B5" s="4" t="s">
        <v>6</v>
      </c>
      <c r="C5" s="4">
        <v>0</v>
      </c>
      <c r="D5" s="8"/>
      <c r="E5" s="9"/>
      <c r="F5" s="4" t="s">
        <v>5</v>
      </c>
      <c r="G5" s="4">
        <v>1</v>
      </c>
      <c r="H5" s="8" t="s">
        <v>48</v>
      </c>
      <c r="I5" s="9"/>
      <c r="J5" s="14"/>
      <c r="K5" s="14"/>
      <c r="L5" s="20"/>
      <c r="M5" s="20"/>
      <c r="N5" s="5"/>
      <c r="O5" s="6"/>
    </row>
    <row r="6" spans="1:35" x14ac:dyDescent="0.25">
      <c r="A6" s="7" t="s">
        <v>12</v>
      </c>
      <c r="B6" s="4" t="s">
        <v>6</v>
      </c>
      <c r="C6" s="4">
        <v>0</v>
      </c>
      <c r="D6" s="8" t="s">
        <v>43</v>
      </c>
      <c r="E6" s="9"/>
      <c r="F6" s="4" t="s">
        <v>6</v>
      </c>
      <c r="G6" s="4">
        <v>1</v>
      </c>
      <c r="H6" s="8"/>
      <c r="I6" s="9"/>
      <c r="J6" s="14"/>
      <c r="K6" s="14"/>
      <c r="L6" s="21"/>
      <c r="M6" s="21"/>
      <c r="N6" s="5"/>
      <c r="O6" s="6"/>
    </row>
    <row r="7" spans="1:35" x14ac:dyDescent="0.25">
      <c r="A7" s="7" t="s">
        <v>13</v>
      </c>
      <c r="B7" s="4" t="s">
        <v>7</v>
      </c>
      <c r="C7" s="4">
        <v>1</v>
      </c>
      <c r="D7" s="8" t="s">
        <v>42</v>
      </c>
      <c r="E7" s="9"/>
      <c r="F7" s="4" t="s">
        <v>6</v>
      </c>
      <c r="G7" s="4">
        <v>0</v>
      </c>
      <c r="H7" s="8"/>
      <c r="I7" s="9"/>
      <c r="J7" s="14"/>
      <c r="K7" s="14"/>
      <c r="L7" s="21"/>
      <c r="M7" s="21"/>
      <c r="N7" s="5"/>
      <c r="O7" s="6"/>
    </row>
    <row r="8" spans="1:35" x14ac:dyDescent="0.25">
      <c r="A8" s="7" t="s">
        <v>14</v>
      </c>
      <c r="B8" s="4" t="s">
        <v>7</v>
      </c>
      <c r="C8" s="4">
        <v>1</v>
      </c>
      <c r="D8" s="8" t="s">
        <v>41</v>
      </c>
      <c r="E8" s="9"/>
      <c r="F8" s="4" t="s">
        <v>7</v>
      </c>
      <c r="G8" s="4">
        <v>1</v>
      </c>
      <c r="H8" s="8" t="s">
        <v>47</v>
      </c>
      <c r="I8" s="9"/>
      <c r="J8" s="14"/>
      <c r="K8" s="14"/>
      <c r="L8" s="21"/>
      <c r="M8" s="21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35" x14ac:dyDescent="0.25">
      <c r="A9" s="7" t="s">
        <v>15</v>
      </c>
      <c r="B9" s="4" t="s">
        <v>5</v>
      </c>
      <c r="C9" s="4">
        <v>1</v>
      </c>
      <c r="D9" s="8" t="s">
        <v>40</v>
      </c>
      <c r="E9" s="9"/>
      <c r="F9" s="4" t="s">
        <v>6</v>
      </c>
      <c r="G9" s="4">
        <v>0</v>
      </c>
      <c r="H9" s="8"/>
      <c r="I9" s="9"/>
      <c r="J9" s="14"/>
      <c r="K9" s="14"/>
      <c r="L9" s="21"/>
      <c r="M9" s="21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35" x14ac:dyDescent="0.25">
      <c r="A10" s="7" t="s">
        <v>16</v>
      </c>
      <c r="B10" s="4" t="s">
        <v>4</v>
      </c>
      <c r="C10" s="4">
        <v>1</v>
      </c>
      <c r="D10" s="8" t="s">
        <v>50</v>
      </c>
      <c r="E10" s="9"/>
      <c r="F10" s="4" t="s">
        <v>5</v>
      </c>
      <c r="G10" s="4">
        <v>1</v>
      </c>
      <c r="H10" s="8" t="s">
        <v>45</v>
      </c>
      <c r="I10" s="9"/>
      <c r="J10" s="14"/>
      <c r="K10" s="14"/>
      <c r="L10" s="21"/>
      <c r="M10" s="21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35" x14ac:dyDescent="0.25">
      <c r="A11" s="7" t="s">
        <v>17</v>
      </c>
      <c r="B11" s="4" t="s">
        <v>7</v>
      </c>
      <c r="C11" s="4">
        <v>1</v>
      </c>
      <c r="D11" s="8"/>
      <c r="E11" s="9"/>
      <c r="F11" s="4" t="s">
        <v>7</v>
      </c>
      <c r="G11" s="4">
        <v>1</v>
      </c>
      <c r="H11" s="8" t="s">
        <v>44</v>
      </c>
      <c r="I11" s="9"/>
      <c r="J11" s="14"/>
      <c r="K11" s="14"/>
      <c r="L11" s="22"/>
      <c r="M11" s="22"/>
      <c r="N11" s="5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7" t="s">
        <v>18</v>
      </c>
      <c r="B12" s="4" t="s">
        <v>7</v>
      </c>
      <c r="C12" s="4">
        <v>1</v>
      </c>
      <c r="D12" s="8" t="s">
        <v>39</v>
      </c>
      <c r="E12" s="9"/>
      <c r="F12" s="4" t="s">
        <v>5</v>
      </c>
      <c r="G12" s="4">
        <v>1</v>
      </c>
      <c r="H12" s="8" t="s">
        <v>46</v>
      </c>
      <c r="I12" s="9"/>
      <c r="J12" s="4" t="s">
        <v>5</v>
      </c>
      <c r="K12" s="4">
        <v>0</v>
      </c>
      <c r="L12" s="8" t="s">
        <v>49</v>
      </c>
      <c r="M12" s="9"/>
      <c r="N12" s="5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x14ac:dyDescent="0.25">
      <c r="A13" s="18"/>
      <c r="B13" s="27" t="s">
        <v>30</v>
      </c>
      <c r="C13" s="27"/>
      <c r="D13" s="27"/>
      <c r="E13" s="7" t="s">
        <v>20</v>
      </c>
      <c r="F13" s="27" t="s">
        <v>32</v>
      </c>
      <c r="G13" s="27"/>
      <c r="H13" s="27"/>
      <c r="I13" s="7" t="s">
        <v>20</v>
      </c>
      <c r="J13" s="27" t="s">
        <v>31</v>
      </c>
      <c r="K13" s="27"/>
      <c r="L13" s="27"/>
      <c r="M13" s="7" t="s">
        <v>20</v>
      </c>
      <c r="N13" s="5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x14ac:dyDescent="0.25">
      <c r="A14" s="28"/>
      <c r="B14" s="26" t="str">
        <f>CONCATENATE(
"P",$C$2,"=",Temp!$G$4,";",
CHAR(10),
"P",$C$2,"M1=",Temp!$B$19,";",
CHAR(10),
"P",$C$2,"M2=",Temp!$C$19,";"
)</f>
        <v>P0=0x3F;
P0M1=0xC4;
P0M2=0x0C;</v>
      </c>
      <c r="C14" s="26"/>
      <c r="D14" s="26"/>
      <c r="E14" s="13" t="s">
        <v>19</v>
      </c>
      <c r="F14" s="26" t="str">
        <f>CONCATENATE(
"P",$G$2,"=",Temp!$H$4,";",
CHAR(10),
"P",$G$2,"M1=",Temp!$D$19,";",
CHAR(10),
"P",$G$2,"M2=",Temp!$E$19,";"
)</f>
        <v>P1=0xD7;
P1M1=0x68;
P1M2=0x85;</v>
      </c>
      <c r="G14" s="26"/>
      <c r="H14" s="26"/>
      <c r="I14" s="13" t="s">
        <v>19</v>
      </c>
      <c r="J14" s="26" t="str">
        <f>CONCATENATE(
"P",$K$2,"=",Temp!$I$4,";",
CHAR(10),
"P",$K$2,"M1=",Temp!$F$19,";",
CHAR(10),
"P",$K$2,"M2=",Temp!$G$19,";"
)</f>
        <v>P3=0x00;
P3M1=0x00;
P3M2=0x01;</v>
      </c>
      <c r="K14" s="26"/>
      <c r="L14" s="26"/>
      <c r="M14" s="13" t="s">
        <v>19</v>
      </c>
      <c r="N14" s="5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x14ac:dyDescent="0.25">
      <c r="A15" s="28"/>
      <c r="B15" s="26"/>
      <c r="C15" s="26"/>
      <c r="D15" s="26"/>
      <c r="E15" s="13"/>
      <c r="F15" s="26"/>
      <c r="G15" s="26"/>
      <c r="H15" s="26"/>
      <c r="I15" s="13"/>
      <c r="J15" s="26"/>
      <c r="K15" s="26"/>
      <c r="L15" s="26"/>
      <c r="M15" s="13"/>
      <c r="N15" s="5"/>
      <c r="O15" s="6"/>
      <c r="P15" s="6"/>
      <c r="Q15" s="6"/>
    </row>
    <row r="16" spans="1:35" x14ac:dyDescent="0.25">
      <c r="A16" s="28"/>
      <c r="B16" s="26"/>
      <c r="C16" s="26"/>
      <c r="D16" s="26"/>
      <c r="E16" s="13"/>
      <c r="F16" s="26"/>
      <c r="G16" s="26"/>
      <c r="H16" s="26"/>
      <c r="I16" s="13"/>
      <c r="J16" s="26"/>
      <c r="K16" s="26"/>
      <c r="L16" s="26"/>
      <c r="M16" s="13"/>
      <c r="N16" s="5"/>
      <c r="O16" s="6"/>
      <c r="P16" s="6"/>
      <c r="Q16" s="6"/>
    </row>
    <row r="17" spans="1:20" x14ac:dyDescent="0.25">
      <c r="A17" s="19"/>
      <c r="B17" s="27" t="s">
        <v>34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4" t="s">
        <v>19</v>
      </c>
      <c r="N17" s="5"/>
      <c r="O17" s="6"/>
      <c r="P17" s="6"/>
      <c r="Q17" s="6"/>
    </row>
    <row r="18" spans="1:20" ht="375" customHeight="1" x14ac:dyDescent="0.25">
      <c r="A18" s="25" t="str">
        <f>CONCATENATE(IF(OR(
D5&lt;&gt;"",D6&lt;&gt;"",D7&lt;&gt;"",D8&lt;&gt;"",D9&lt;&gt;"",D10&lt;&gt;"",D11&lt;&gt;"",D11&lt;&gt;"",
H5&lt;&gt;"",H6&lt;&gt;"",H7&lt;&gt;"",H8&lt;&gt;"",H9&lt;&gt;"",H10&lt;&gt;"",H11&lt;&gt;"",H11&lt;&gt;"",
L12&lt;&gt;""),"/* Define Config IO By Config_IO */"&amp;CHAR(10)&amp;"#include "&amp;CHAR(34)&amp;"Config_GPIO.c"&amp;CHAR(34)&amp;CHAR(10),""),
IF(D5="","","#define "&amp;D5&amp;" Pin_P07"&amp;CHAR(10)),
IF(D6="","","#define "&amp;D6&amp;" Pin_P06"&amp;CHAR(10)),
IF(D7="","","#define "&amp;D7&amp;" Pin_P05"&amp;CHAR(10)),
IF(D8="","","#define "&amp;D8&amp;" Pin_P04"&amp;CHAR(10)),
IF(D9="","","#define "&amp;D9&amp;" Pin_P03"&amp;CHAR(10)),
IF(D10="","","#define "&amp;D10&amp;" Pin_P02"&amp;CHAR(10)),
IF(D11="","","#define "&amp;D11&amp;" Pin_P01"&amp;CHAR(10)),
IF(D12="","","#define "&amp;D12&amp;" Pin_P00"&amp;CHAR(10)),
IF(H5="","","#define "&amp;H5&amp;" Pin_P17"&amp;CHAR(10)),
IF(H6="","","#define "&amp;H6&amp;" Pin_P16"&amp;CHAR(10)),
IF(H7="","","#define "&amp;H7&amp;" Pin_P15"&amp;CHAR(10)),
IF(H8="","","#define "&amp;H8&amp;" Pin_P14"&amp;CHAR(10)),
IF(H9="","","#define "&amp;H9&amp;" Pin_P13"&amp;CHAR(10)),
IF(H10="","","#define "&amp;H10&amp;" Pin_P12"&amp;CHAR(10)),
IF(H11="","","#define "&amp;H11&amp;" Pin_P11"&amp;CHAR(10)),
IF(H12="","","#define "&amp;H12&amp;" Pin_P10"&amp;CHAR(10)),
IF(L12="","","#define "&amp;L12&amp;" Pin_P30"&amp;CHAR(10)),
IF(OR(
D5&lt;&gt;"",D6&lt;&gt;"",D7&lt;&gt;"",D8&lt;&gt;"",D9&lt;&gt;"",D10&lt;&gt;"",D11&lt;&gt;"",D11&lt;&gt;"",
H5&lt;&gt;"",H6&lt;&gt;"",H7&lt;&gt;"",H8&lt;&gt;"",H9&lt;&gt;"",H10&lt;&gt;"",H11&lt;&gt;"",H11&lt;&gt;"",
L12&lt;&gt;""),"/* Define Config IO By Config_IO */"&amp;CHAR(10),""),
IF(OR(
E5&lt;&gt;"",E6&lt;&gt;"",E7&lt;&gt;"",E8&lt;&gt;"",E9&lt;&gt;"",E10&lt;&gt;"",E11&lt;&gt;"",E11&lt;&gt;"",
I5&lt;&gt;"",I6&lt;&gt;"",I7&lt;&gt;"",I8&lt;&gt;"",I9&lt;&gt;"",I10&lt;&gt;"",I11&lt;&gt;"",I11&lt;&gt;"",
M12&lt;&gt;""),"/* Define Config IO By Nuvoton */"&amp;CHAR(10),""),
IF(E5="","","#define "&amp;E5&amp;" P07"&amp;CHAR(10)),
IF(E6="","","#define "&amp;E6&amp;" P06"&amp;CHAR(10)),
IF(E7="","","#define "&amp;E7&amp;" P05"&amp;CHAR(10)),
IF(E8="","","#define "&amp;E8&amp;" P04"&amp;CHAR(10)),
IF(E9="","","#define "&amp;E9&amp;" P03"&amp;CHAR(10)),
IF(E10="","","#define "&amp;E10&amp;" P02"&amp;CHAR(10)),
IF(E11="","","#define "&amp;E11&amp;" P01"&amp;CHAR(10)),
IF(E12="","","#define "&amp;E12&amp;" P00"&amp;CHAR(10)),
IF(I5="","","#define "&amp;I5&amp;" P17"&amp;CHAR(10)),
IF(I6="","","#define "&amp;I6&amp;" P16"&amp;CHAR(10)),
IF(I7="","","#define "&amp;I7&amp;" P15"&amp;CHAR(10)),
IF(I8="","","#define "&amp;I8&amp;" P14"&amp;CHAR(10)),
IF(I9="","","#define "&amp;I9&amp;" P13"&amp;CHAR(10)),
IF(I10="","","#define "&amp;I10&amp;" P12"&amp;CHAR(10)),
IF(I11="","","#define "&amp;I11&amp;" P11"&amp;CHAR(10)),
IF(I12="","","#define "&amp;I12&amp;" P10"&amp;CHAR(10)),
IF(M12="","","#define "&amp;M12&amp;" P30"&amp;CHAR(10)),
IF(OR(
E5&lt;&gt;"",E6&lt;&gt;"",E7&lt;&gt;"",E8&lt;&gt;"",E9&lt;&gt;"",E10&lt;&gt;"",E11&lt;&gt;"",E11&lt;&gt;"",
I5&lt;&gt;"",I6&lt;&gt;"",I7&lt;&gt;"",I8&lt;&gt;"",I9&lt;&gt;"",I10&lt;&gt;"",I11&lt;&gt;"",I11&lt;&gt;"",
M12&lt;&gt;""),"/* Define Config IO By Nuvoton */"&amp;CHAR(10),""),
"void GPIO_INIT() {",CHAR(10),
IF(AND(M17="Yes",OR(E14="Yes",I14="Yes",M14="Yes")),"/* ===== GPIO INIT ====="&amp;CHAR(10),""),
IF(AND(M17="Yes",OR(E14="Yes",I14="Yes",M14="Yes")),"|  Port  |"&amp;IF(E14="Yes","     P0     |","")&amp;IF(I14="Yes","     P1     |","")&amp;IF(M14="Yes","     P3     |"&amp;CHAR(10),""),""),
IF(AND(M17="Yes",OR(E14="Yes",I14="Yes",M14="Yes")),"|  Px7   |"&amp;IF(E14="Yes",VLOOKUP(B5,Temp!$B$2:$E$6,4,FALSE)&amp;"|","")&amp;IF(I14="Yes",VLOOKUP(F5,Temp!$B$2:$E$6,4,FALSE)&amp;"|","")&amp;IF(M14="Yes","            |","")&amp;CHAR(10),""),
IF(AND(M17="Yes",OR(E14="Yes",I14="Yes",M14="Yes")),"|  Px6   |"&amp;IF(E14="Yes",VLOOKUP(B6,Temp!$B$2:$E$6,4,FALSE)&amp;"|","")&amp;IF(I14="Yes",VLOOKUP(F6,Temp!$B$2:$E$6,4,FALSE)&amp;"|","")&amp;IF(M14="Yes","            |","")&amp;CHAR(10),""),
IF(AND(M17="Yes",OR(E14="Yes",I14="Yes",M14="Yes")),"|  Px5   |"&amp;IF(E14="Yes",VLOOKUP(B7,Temp!$B$2:$E$6,4,FALSE)&amp;"|","")&amp;IF(I14="Yes",VLOOKUP(F7,Temp!$B$2:$E$6,4,FALSE)&amp;"|","")&amp;IF(M14="Yes","            |","")&amp;CHAR(10),""),
IF(AND(M17="Yes",OR(E14="Yes",I14="Yes",M14="Yes")),"|  Px4   |"&amp;IF(E14="Yes",VLOOKUP(B8,Temp!$B$2:$E$6,4,FALSE)&amp;"|","")&amp;IF(I14="Yes",VLOOKUP(F8,Temp!$B$2:$E$6,4,FALSE)&amp;"|","")&amp;IF(M14="Yes","            |","")&amp;CHAR(10),""),
IF(AND(M17="Yes",OR(E14="Yes",I14="Yes",M14="Yes")),"|  Px3   |"&amp;IF(E14="Yes",VLOOKUP(B9,Temp!$B$2:$E$6,4,FALSE)&amp;"|","")&amp;IF(I14="Yes",VLOOKUP(F9,Temp!$B$2:$E$6,4,FALSE)&amp;"|","")&amp;IF(M14="Yes","            |","")&amp;CHAR(10),""),
IF(AND(M17="Yes",OR(E14="Yes",I14="Yes",M14="Yes")),"|  Px2   |"&amp;IF(E14="Yes",VLOOKUP(B10,Temp!$B$2:$E$6,4,FALSE)&amp;"|","")&amp;IF(I14="Yes",VLOOKUP(F10,Temp!$B$2:$E$6,4,FALSE)&amp;"|","")&amp;IF(M14="Yes","            |","")&amp;CHAR(10),""),
IF(AND(M17="Yes",OR(E14="Yes",I14="Yes",M14="Yes")),"|  Px1   |"&amp;IF(E14="Yes",VLOOKUP(B11,Temp!$B$2:$E$6,4,FALSE)&amp;"|","")&amp;IF(I14="Yes",VLOOKUP(F11,Temp!$B$2:$E$6,4,FALSE)&amp;"|","")&amp;IF(M14="Yes","            |","")&amp;CHAR(10),""),
IF(AND(M17="Yes",OR(E14="Yes",I14="Yes",M14="Yes")),"|  Px0   |"&amp;IF(E14="Yes",VLOOKUP(B12,Temp!$B$2:$E$6,4,FALSE)&amp;"|","")&amp;IF(I14="Yes",VLOOKUP(F12,Temp!$B$2:$E$6,4,FALSE)&amp;"|","")&amp;IF(M14="Yes",VLOOKUP(J12,Temp!$B$2:$E$6,4,FALSE)&amp;"|","")&amp;CHAR(10),""),
IF(AND(M17="Yes",OR(E14="Yes",I14="Yes",M14="Yes")),"===== GPIO INIT =====*/"&amp;CHAR(10),""),
IF(AND(M17="Yes",OR(E14="Yes",I14="Yes",M14="Yes")),"/* ===== GPIO DEFAULT STATE ====="&amp;CHAR(10),""),
IF(AND(M17="Yes",OR(E14="Yes",I14="Yes",M14="Yes")),"|  Port  |"&amp;IF(E14="Yes"," P0 |","")&amp;IF(I14="Yes"," P1 |","")&amp;IF(M14="Yes"," P3 |"&amp;CHAR(10),""),""),
IF(AND(M17="Yes",OR(E14="Yes",I14="Yes",M14="Yes")),"|  Px7   |"&amp;IF(E14="Yes","  "&amp;C5&amp;" |","")&amp;IF(I14="Yes","  "&amp;G5&amp;" |","")&amp;IF(M14="Yes","    |","")&amp;CHAR(10),""),
IF(AND(M17="Yes",OR(E14="Yes",I14="Yes",M14="Yes")),"|  Px6   |"&amp;IF(E14="Yes","  "&amp;C6&amp;" |","")&amp;IF(I14="Yes","  "&amp;G6&amp;" |","")&amp;IF(M14="Yes","    |","")&amp;CHAR(10),""),
IF(AND(M17="Yes",OR(E14="Yes",I14="Yes",M14="Yes")),"|  Px5   |"&amp;IF(E14="Yes","  "&amp;C7&amp;" |","")&amp;IF(I14="Yes","  "&amp;G7&amp;" |","")&amp;IF(M14="Yes","    |","")&amp;CHAR(10),""),
IF(AND(M17="Yes",OR(E14="Yes",I14="Yes",M14="Yes")),"|  Px4   |"&amp;IF(E14="Yes","  "&amp;C8&amp;" |","")&amp;IF(I14="Yes","  "&amp;G8&amp;" |","")&amp;IF(M14="Yes","    |","")&amp;CHAR(10),""),
IF(AND(M17="Yes",OR(E14="Yes",I14="Yes",M14="Yes")),"|  Px3   |"&amp;IF(E14="Yes","  "&amp;C9&amp;" |","")&amp;IF(I14="Yes","  "&amp;G9&amp;" |","")&amp;IF(M14="Yes","    |","")&amp;CHAR(10),""),
IF(AND(M17="Yes",OR(E14="Yes",I14="Yes",M14="Yes")),"|  Px2   |"&amp;IF(E14="Yes","  "&amp;C10&amp;" |","")&amp;IF(I14="Yes","  "&amp;G10&amp;" |","")&amp;IF(M14="Yes","    |","")&amp;CHAR(10),""),
IF(AND(M17="Yes",OR(E14="Yes",I14="Yes",M14="Yes")),"|  Px1   |"&amp;IF(E14="Yes","  "&amp;C11&amp;" |","")&amp;IF(I14="Yes","  "&amp;G11&amp;" |","")&amp;IF(M14="Yes","    |","")&amp;CHAR(10),""),
IF(AND(M17="Yes",OR(E14="Yes",I14="Yes",M14="Yes")),"|  Px0   |"&amp;IF(E14="Yes","  "&amp;C12&amp;" |","")&amp;IF(I14="Yes","  "&amp;G12&amp;" |","")&amp;IF(M14="Yes","  "&amp;K12&amp;" |","")&amp;CHAR(10),""),
IF(AND(M17="Yes",OR(E14="Yes",I14="Yes",M14="Yes"))," ===== GPIO DEFAULT STATE =====*/"&amp;CHAR(10),""),
IF(E14="Yes",B14&amp;CHAR(10),""),
IF(I14="Yes",F14&amp;CHAR(10),""),
IF(M14="Yes",J14&amp;CHAR(10),""),
"}")</f>
        <v>/* Define Config IO By Config_IO */
#include "Config_GPIO.c"
#define SW2 Pin_P06
#define DOWN Pin_P05
#define UP Pin_P04
#define RL1 Pin_P03
#define STT Pin_P02
#define SDA2 Pin_P00
#define RL2 Pin_P17
#define SET Pin_P14
#define SCL1 Pin_P12
#define SDA1 Pin_P11
#define SCL2 Pin_P10
#define RL3 Pin_P30
/* Define Config IO By Config_IO */
void GPIO_INIT() {
/* ===== GPIO INIT =====
|  Port  |     P0     |     P1     |     P3     |
|  Px7   | Input-only |  Push-pull |            |
|  Px6   | Input-only | Input-only |            |
|  Px5   |    Quasi   | Input-only |            |
|  Px4   |    Quasi   |    Quasi   |            |
|  Px3   |  Push-pull | Input-only |            |
|  Px2   | Open-drain |  Push-pull |            |
|  Px1   |    Quasi   |    Quasi   |            |
|  Px0   |    Quasi   |  Push-pull |  Push-pull |
===== GPIO INIT =====*/
/* ===== GPIO DEFAULT STATE =====
|  Port  | P0 | P1 | P3 |
|  Px7   |  0 |  1 |    |
|  Px6   |  0 |  1 |    |
|  Px5   |  1 |  0 |    |
|  Px4   |  1 |  1 |    |
|  Px3   |  1 |  0 |    |
|  Px2   |  1 |  1 |    |
|  Px1   |  1 |  1 |    |
|  Px0   |  1 |  1 |  0 |
 ===== GPIO DEFAULT STATE =====*/
P0=0x3F;
P0M1=0xC4;
P0M2=0x0C;
P1=0xD7;
P1M1=0x68;
P1M2=0x85;
P3=0x00;
P3M1=0x00;
P3M2=0x01;
}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10"/>
      <c r="O18" s="6"/>
      <c r="P18" s="6"/>
      <c r="Q18" s="6"/>
    </row>
    <row r="19" spans="1:20" x14ac:dyDescent="0.25"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20" x14ac:dyDescent="0.25"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5"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25"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25">
      <c r="H28" s="1"/>
      <c r="K28" s="6"/>
      <c r="L28" s="6"/>
      <c r="M28" s="6"/>
      <c r="N28" s="6"/>
      <c r="O28" s="6"/>
      <c r="P28" s="6"/>
    </row>
    <row r="29" spans="1:20" x14ac:dyDescent="0.25">
      <c r="H29" s="1"/>
      <c r="K29" s="6"/>
      <c r="L29" s="6"/>
      <c r="M29" s="6"/>
      <c r="N29" s="6"/>
      <c r="O29" s="6"/>
      <c r="P29" s="6"/>
    </row>
    <row r="30" spans="1:20" x14ac:dyDescent="0.25">
      <c r="H30" s="1"/>
      <c r="K30" s="6"/>
      <c r="L30" s="6"/>
      <c r="M30" s="6"/>
      <c r="N30" s="6"/>
      <c r="O30" s="6"/>
      <c r="P30" s="6"/>
    </row>
    <row r="31" spans="1:20" x14ac:dyDescent="0.25">
      <c r="H31" s="1"/>
      <c r="K31" s="6"/>
      <c r="L31" s="6"/>
      <c r="M31" s="6"/>
      <c r="N31" s="6"/>
      <c r="O31" s="6"/>
      <c r="P31" s="6"/>
    </row>
    <row r="32" spans="1:20" x14ac:dyDescent="0.25">
      <c r="K32" s="6"/>
      <c r="L32" s="6"/>
      <c r="M32" s="6"/>
      <c r="N32" s="6"/>
      <c r="O32" s="6"/>
      <c r="P32" s="6"/>
    </row>
    <row r="33" spans="1:16" x14ac:dyDescent="0.25">
      <c r="K33" s="6"/>
      <c r="L33" s="6"/>
      <c r="M33" s="6"/>
      <c r="N33" s="6"/>
      <c r="O33" s="6"/>
      <c r="P33" s="6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16" x14ac:dyDescent="0.25">
      <c r="C43" s="3"/>
      <c r="D43" s="3"/>
      <c r="E43" s="3"/>
      <c r="F43" s="3"/>
      <c r="G43" s="3"/>
      <c r="H43" s="3"/>
      <c r="I43" s="3"/>
      <c r="J43" s="3"/>
      <c r="K43" s="3"/>
      <c r="L43" s="3"/>
      <c r="M43" s="1"/>
      <c r="N43" s="1"/>
    </row>
    <row r="44" spans="1:16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6" x14ac:dyDescent="0.25">
      <c r="C45" s="3"/>
      <c r="D45" s="3"/>
      <c r="E45" s="3"/>
      <c r="F45" s="3"/>
      <c r="G45" s="3"/>
      <c r="H45" s="3"/>
      <c r="I45" s="3"/>
      <c r="J45" s="3"/>
      <c r="K45" s="3"/>
      <c r="L45" s="3"/>
      <c r="M45" s="1"/>
      <c r="N45" s="1"/>
    </row>
    <row r="46" spans="1:16" x14ac:dyDescent="0.25"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6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6" x14ac:dyDescent="0.25"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3:12" x14ac:dyDescent="0.25"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30">
    <mergeCell ref="A1:A4"/>
    <mergeCell ref="B13:D13"/>
    <mergeCell ref="B1:M1"/>
    <mergeCell ref="D3:E3"/>
    <mergeCell ref="A18:M18"/>
    <mergeCell ref="I14:I16"/>
    <mergeCell ref="M14:M16"/>
    <mergeCell ref="J14:L16"/>
    <mergeCell ref="F14:H16"/>
    <mergeCell ref="B14:D16"/>
    <mergeCell ref="B17:L17"/>
    <mergeCell ref="A13:A17"/>
    <mergeCell ref="F13:H13"/>
    <mergeCell ref="J13:L13"/>
    <mergeCell ref="B3:B4"/>
    <mergeCell ref="E14:E16"/>
    <mergeCell ref="J5:J11"/>
    <mergeCell ref="K5:K11"/>
    <mergeCell ref="K2:M2"/>
    <mergeCell ref="C3:C4"/>
    <mergeCell ref="F3:F4"/>
    <mergeCell ref="G3:G4"/>
    <mergeCell ref="C2:E2"/>
    <mergeCell ref="L5:L11"/>
    <mergeCell ref="M5:M11"/>
    <mergeCell ref="J3:J4"/>
    <mergeCell ref="K3:K4"/>
    <mergeCell ref="H3:I3"/>
    <mergeCell ref="L3:M3"/>
    <mergeCell ref="G2:I2"/>
  </mergeCells>
  <phoneticPr fontId="1" type="noConversion"/>
  <conditionalFormatting sqref="C5:C12 G5:G12 K12">
    <cfRule type="cellIs" dxfId="3" priority="1" operator="equal">
      <formula>1</formula>
    </cfRule>
    <cfRule type="cellIs" dxfId="2" priority="2" operator="equal">
      <formula>0</formula>
    </cfRule>
  </conditionalFormatting>
  <dataValidations count="3">
    <dataValidation type="list" sqref="M17">
      <formula1>"Yes,No"</formula1>
    </dataValidation>
    <dataValidation type="list" allowBlank="1" showInputMessage="1" showErrorMessage="1" sqref="E14 I14 M14">
      <formula1>"Yes,No"</formula1>
    </dataValidation>
    <dataValidation type="list" allowBlank="1" showInputMessage="1" showErrorMessage="1" sqref="K12 C5:C12 G5:G12">
      <formula1>"0,1"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promptTitle="Warning" prompt="Please select a type pin">
          <x14:formula1>
            <xm:f>Temp!$B$3:$B$6</xm:f>
          </x14:formula1>
          <xm:sqref>J12 B5:B12 F5:F12</xm:sqref>
        </x14:dataValidation>
        <x14:dataValidation type="list" allowBlank="1" showInputMessage="1" showErrorMessage="1">
          <x14:formula1>
            <xm:f>Temp!$B$3:$B$6</xm:f>
          </x14:formula1>
          <xm:sqref>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E7" sqref="E7"/>
    </sheetView>
  </sheetViews>
  <sheetFormatPr defaultRowHeight="15" x14ac:dyDescent="0.25"/>
  <cols>
    <col min="1" max="1" width="9.140625" style="1"/>
    <col min="2" max="9" width="12.140625" style="1" customWidth="1"/>
    <col min="10" max="16384" width="9.140625" style="1"/>
  </cols>
  <sheetData>
    <row r="2" spans="1:9" x14ac:dyDescent="0.25">
      <c r="B2" s="2" t="s">
        <v>3</v>
      </c>
      <c r="C2" s="2" t="s">
        <v>0</v>
      </c>
      <c r="D2" s="2" t="s">
        <v>1</v>
      </c>
      <c r="E2" s="2" t="s">
        <v>2</v>
      </c>
      <c r="G2" s="2" t="s">
        <v>27</v>
      </c>
      <c r="H2" s="2" t="s">
        <v>28</v>
      </c>
      <c r="I2" s="2" t="s">
        <v>29</v>
      </c>
    </row>
    <row r="3" spans="1:9" x14ac:dyDescent="0.25">
      <c r="B3" s="2" t="s">
        <v>7</v>
      </c>
      <c r="C3" s="2">
        <v>0</v>
      </c>
      <c r="D3" s="2">
        <v>0</v>
      </c>
      <c r="E3" s="2" t="s">
        <v>35</v>
      </c>
      <c r="G3" s="2">
        <f>IF(Main!$C$12=1,1,0)+IF(Main!$C$11=1,2,0)+IF(Main!$C$10=1,4,0)+IF(Main!$C$9=1,8,0)+IF(Main!$C$8=1,16,0)+IF(Main!$C$7=1,32,0)+IF(Main!$C$6=1,64,0)+IF(Main!$C$5=1,128,0)</f>
        <v>63</v>
      </c>
      <c r="H3" s="2">
        <f>IF(Main!$G$12=1,1,0)+IF(Main!$G$11=1,2,0)+IF(Main!$G$10=1,4,0)+IF(Main!$G$9=1,8,0)+IF(Main!$G$8=1,16,0)+IF(Main!$G$7=1,32,0)+IF(Main!$G$6=1,64,0)+IF(Main!$G$5=1,128,0)</f>
        <v>215</v>
      </c>
      <c r="I3" s="2">
        <f>IF(Main!$K$12=1,1,0)</f>
        <v>0</v>
      </c>
    </row>
    <row r="4" spans="1:9" x14ac:dyDescent="0.25">
      <c r="B4" s="2" t="s">
        <v>5</v>
      </c>
      <c r="C4" s="2">
        <v>0</v>
      </c>
      <c r="D4" s="2">
        <v>1</v>
      </c>
      <c r="E4" s="2" t="s">
        <v>36</v>
      </c>
      <c r="G4" s="2" t="str">
        <f>"0x"&amp;DEC2HEX(G3,2)</f>
        <v>0x3F</v>
      </c>
      <c r="H4" s="2" t="str">
        <f t="shared" ref="H4:I4" si="0">"0x"&amp;DEC2HEX(H3,2)</f>
        <v>0xD7</v>
      </c>
      <c r="I4" s="2" t="str">
        <f t="shared" si="0"/>
        <v>0x00</v>
      </c>
    </row>
    <row r="5" spans="1:9" x14ac:dyDescent="0.25">
      <c r="B5" s="2" t="s">
        <v>6</v>
      </c>
      <c r="C5" s="2">
        <v>1</v>
      </c>
      <c r="D5" s="2">
        <v>0</v>
      </c>
      <c r="E5" s="2" t="s">
        <v>37</v>
      </c>
    </row>
    <row r="6" spans="1:9" x14ac:dyDescent="0.25">
      <c r="B6" s="2" t="s">
        <v>4</v>
      </c>
      <c r="C6" s="2">
        <v>1</v>
      </c>
      <c r="D6" s="2">
        <v>1</v>
      </c>
      <c r="E6" s="2" t="s">
        <v>38</v>
      </c>
    </row>
    <row r="9" spans="1:9" x14ac:dyDescent="0.25">
      <c r="A9" s="7"/>
      <c r="B9" s="27" t="s">
        <v>8</v>
      </c>
      <c r="C9" s="27"/>
      <c r="D9" s="27" t="s">
        <v>9</v>
      </c>
      <c r="E9" s="27"/>
      <c r="F9" s="27" t="s">
        <v>10</v>
      </c>
      <c r="G9" s="27"/>
    </row>
    <row r="10" spans="1:9" x14ac:dyDescent="0.25">
      <c r="A10" s="7"/>
      <c r="B10" s="7" t="s">
        <v>0</v>
      </c>
      <c r="C10" s="7" t="s">
        <v>1</v>
      </c>
      <c r="D10" s="7" t="s">
        <v>0</v>
      </c>
      <c r="E10" s="7" t="s">
        <v>1</v>
      </c>
      <c r="F10" s="7" t="s">
        <v>0</v>
      </c>
      <c r="G10" s="7" t="s">
        <v>1</v>
      </c>
    </row>
    <row r="11" spans="1:9" x14ac:dyDescent="0.25">
      <c r="A11" s="7" t="s">
        <v>11</v>
      </c>
      <c r="B11" s="2">
        <f>VLOOKUP(Main!B5,Temp!$B$2:$D$6,2,FALSE)</f>
        <v>1</v>
      </c>
      <c r="C11" s="2">
        <f>VLOOKUP(Main!B5,Temp!$B$2:$D$6,3,FALSE)</f>
        <v>0</v>
      </c>
      <c r="D11" s="2">
        <f>VLOOKUP(Main!F5,Temp!$B$2:$D$6,2,FALSE)</f>
        <v>0</v>
      </c>
      <c r="E11" s="2">
        <f>VLOOKUP(Main!F5,Temp!$B$2:$D$6,3,FALSE)</f>
        <v>1</v>
      </c>
      <c r="F11" s="2"/>
      <c r="G11" s="2"/>
    </row>
    <row r="12" spans="1:9" x14ac:dyDescent="0.25">
      <c r="A12" s="7" t="s">
        <v>12</v>
      </c>
      <c r="B12" s="2">
        <f>VLOOKUP(Main!B6,Temp!$B$2:$D$6,2,FALSE)</f>
        <v>1</v>
      </c>
      <c r="C12" s="2">
        <f>VLOOKUP(Main!B6,Temp!$B$2:$D$6,3,FALSE)</f>
        <v>0</v>
      </c>
      <c r="D12" s="2">
        <f>VLOOKUP(Main!F6,Temp!$B$2:$D$6,2,FALSE)</f>
        <v>1</v>
      </c>
      <c r="E12" s="2">
        <f>VLOOKUP(Main!F6,Temp!$B$2:$D$6,3,FALSE)</f>
        <v>0</v>
      </c>
      <c r="F12" s="2"/>
      <c r="G12" s="2"/>
    </row>
    <row r="13" spans="1:9" x14ac:dyDescent="0.25">
      <c r="A13" s="7" t="s">
        <v>13</v>
      </c>
      <c r="B13" s="2">
        <f>VLOOKUP(Main!B7,Temp!$B$2:$D$6,2,FALSE)</f>
        <v>0</v>
      </c>
      <c r="C13" s="2">
        <f>VLOOKUP(Main!B7,Temp!$B$2:$D$6,3,FALSE)</f>
        <v>0</v>
      </c>
      <c r="D13" s="2">
        <f>VLOOKUP(Main!F7,Temp!$B$2:$D$6,2,FALSE)</f>
        <v>1</v>
      </c>
      <c r="E13" s="2">
        <f>VLOOKUP(Main!F7,Temp!$B$2:$D$6,3,FALSE)</f>
        <v>0</v>
      </c>
      <c r="F13" s="2"/>
      <c r="G13" s="2"/>
    </row>
    <row r="14" spans="1:9" x14ac:dyDescent="0.25">
      <c r="A14" s="7" t="s">
        <v>14</v>
      </c>
      <c r="B14" s="2">
        <f>VLOOKUP(Main!B8,Temp!$B$2:$D$6,2,FALSE)</f>
        <v>0</v>
      </c>
      <c r="C14" s="2">
        <f>VLOOKUP(Main!B8,Temp!$B$2:$D$6,3,FALSE)</f>
        <v>0</v>
      </c>
      <c r="D14" s="2">
        <f>VLOOKUP(Main!F8,Temp!$B$2:$D$6,2,FALSE)</f>
        <v>0</v>
      </c>
      <c r="E14" s="2">
        <f>VLOOKUP(Main!F8,Temp!$B$2:$D$6,3,FALSE)</f>
        <v>0</v>
      </c>
      <c r="F14" s="2"/>
      <c r="G14" s="2"/>
    </row>
    <row r="15" spans="1:9" x14ac:dyDescent="0.25">
      <c r="A15" s="7" t="s">
        <v>15</v>
      </c>
      <c r="B15" s="2">
        <f>VLOOKUP(Main!B9,Temp!$B$2:$D$6,2,FALSE)</f>
        <v>0</v>
      </c>
      <c r="C15" s="2">
        <f>VLOOKUP(Main!B9,Temp!$B$2:$D$6,3,FALSE)</f>
        <v>1</v>
      </c>
      <c r="D15" s="2">
        <f>VLOOKUP(Main!F9,Temp!$B$2:$D$6,2,FALSE)</f>
        <v>1</v>
      </c>
      <c r="E15" s="2">
        <f>VLOOKUP(Main!F9,Temp!$B$2:$D$6,3,FALSE)</f>
        <v>0</v>
      </c>
      <c r="F15" s="2"/>
      <c r="G15" s="2"/>
    </row>
    <row r="16" spans="1:9" x14ac:dyDescent="0.25">
      <c r="A16" s="7" t="s">
        <v>16</v>
      </c>
      <c r="B16" s="2">
        <f>VLOOKUP(Main!B10,Temp!$B$2:$D$6,2,FALSE)</f>
        <v>1</v>
      </c>
      <c r="C16" s="2">
        <f>VLOOKUP(Main!B10,Temp!$B$2:$D$6,3,FALSE)</f>
        <v>1</v>
      </c>
      <c r="D16" s="2">
        <f>VLOOKUP(Main!F10,Temp!$B$2:$D$6,2,FALSE)</f>
        <v>0</v>
      </c>
      <c r="E16" s="2">
        <f>VLOOKUP(Main!F10,Temp!$B$2:$D$6,3,FALSE)</f>
        <v>1</v>
      </c>
      <c r="F16" s="2"/>
      <c r="G16" s="2"/>
    </row>
    <row r="17" spans="1:7" x14ac:dyDescent="0.25">
      <c r="A17" s="7" t="s">
        <v>17</v>
      </c>
      <c r="B17" s="2">
        <f>VLOOKUP(Main!B11,Temp!$B$2:$D$6,2,FALSE)</f>
        <v>0</v>
      </c>
      <c r="C17" s="2">
        <f>VLOOKUP(Main!B11,Temp!$B$2:$D$6,3,FALSE)</f>
        <v>0</v>
      </c>
      <c r="D17" s="2">
        <f>VLOOKUP(Main!F11,Temp!$B$2:$D$6,2,FALSE)</f>
        <v>0</v>
      </c>
      <c r="E17" s="2">
        <f>VLOOKUP(Main!F11,Temp!$B$2:$D$6,3,FALSE)</f>
        <v>0</v>
      </c>
      <c r="F17" s="2"/>
      <c r="G17" s="2"/>
    </row>
    <row r="18" spans="1:7" x14ac:dyDescent="0.25">
      <c r="A18" s="7" t="s">
        <v>18</v>
      </c>
      <c r="B18" s="2">
        <f>VLOOKUP(Main!B12,Temp!$B$2:$D$6,2,FALSE)</f>
        <v>0</v>
      </c>
      <c r="C18" s="2">
        <f>VLOOKUP(Main!B12,Temp!$B$2:$D$6,3,FALSE)</f>
        <v>0</v>
      </c>
      <c r="D18" s="2">
        <f>VLOOKUP(Main!F12,Temp!$B$2:$D$6,2,FALSE)</f>
        <v>0</v>
      </c>
      <c r="E18" s="2">
        <f>VLOOKUP(Main!F12,Temp!$B$2:$D$6,3,FALSE)</f>
        <v>1</v>
      </c>
      <c r="F18" s="2">
        <f>VLOOKUP(Main!J12,Temp!$B$2:$D$6,2,FALSE)</f>
        <v>0</v>
      </c>
      <c r="G18" s="2">
        <f>VLOOKUP(Main!J12,Temp!$B$2:$D$6,3,FALSE)</f>
        <v>1</v>
      </c>
    </row>
    <row r="19" spans="1:7" x14ac:dyDescent="0.25">
      <c r="A19" s="7"/>
      <c r="B19" s="7" t="str">
        <f>"0x"&amp;DEC2HEX(IF(B18=1,1,0)+IF(B17=1,2,0)+IF(B16=1,4,0)+IF(B15=1,8,0)+IF(B14=1,16,0)+IF(B13=1,32,0)+IF(B12=1,64,0)+IF(B11=1,128,0),2)</f>
        <v>0xC4</v>
      </c>
      <c r="C19" s="7" t="str">
        <f t="shared" ref="C19:E19" si="1">"0x"&amp;DEC2HEX(IF(C18=1,1,0)+IF(C17=1,2,0)+IF(C16=1,4,0)+IF(C15=1,8,0)+IF(C14=1,16,0)+IF(C13=1,32,0)+IF(C12=1,64,0)+IF(C11=1,128,0),2)</f>
        <v>0x0C</v>
      </c>
      <c r="D19" s="7" t="str">
        <f t="shared" si="1"/>
        <v>0x68</v>
      </c>
      <c r="E19" s="7" t="str">
        <f t="shared" si="1"/>
        <v>0x85</v>
      </c>
      <c r="F19" s="7" t="str">
        <f>"0x"&amp;DEC2HEX(IF(F18=1,1,0)+IF(F17=1,2,0)+IF(F16=1,4,0)+IF(F15=1,8,0)+IF(F14=1,16,0)+IF(F13=1,32,0)+IF(F12=1,64,0)+IF(F11=1,128,0),2)</f>
        <v>0x00</v>
      </c>
      <c r="G19" s="7" t="str">
        <f>"0x"&amp;DEC2HEX(IF(G18=1,1,0)+IF(G17=1,2,0)+IF(G16=1,4,0)+IF(G15=1,8,0)+IF(G14=1,16,0)+IF(G13=1,32,0)+IF(G12=1,64,0)+IF(G11=1,128,0),2)</f>
        <v>0x01</v>
      </c>
    </row>
  </sheetData>
  <mergeCells count="3">
    <mergeCell ref="B9:C9"/>
    <mergeCell ref="D9:E9"/>
    <mergeCell ref="F9:G9"/>
  </mergeCells>
  <phoneticPr fontId="1" type="noConversion"/>
  <conditionalFormatting sqref="C3:D6 B11:G18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Tinh Nhox</dc:creator>
  <cp:lastModifiedBy>TGC</cp:lastModifiedBy>
  <dcterms:created xsi:type="dcterms:W3CDTF">2023-03-27T02:42:21Z</dcterms:created>
  <dcterms:modified xsi:type="dcterms:W3CDTF">2025-12-01T06:54:59Z</dcterms:modified>
</cp:coreProperties>
</file>